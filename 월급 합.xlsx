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개인정보\"/>
    </mc:Choice>
  </mc:AlternateContent>
  <xr:revisionPtr revIDLastSave="0" documentId="13_ncr:1_{56175C6E-BD0C-4C6C-BC8F-80E27AD1D8ED}" xr6:coauthVersionLast="47" xr6:coauthVersionMax="47" xr10:uidLastSave="{00000000-0000-0000-0000-000000000000}"/>
  <bookViews>
    <workbookView xWindow="-120" yWindow="-120" windowWidth="29040" windowHeight="15720" xr2:uid="{C1528A54-3910-4F15-91EB-4B5E9EB806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3" i="1"/>
  <c r="I4" i="1"/>
  <c r="I5" i="1"/>
  <c r="I6" i="1"/>
  <c r="I7" i="1"/>
  <c r="I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  <c r="J6" i="1"/>
  <c r="J7" i="1"/>
  <c r="J4" i="1"/>
  <c r="J5" i="1"/>
  <c r="J3" i="1"/>
</calcChain>
</file>

<file path=xl/sharedStrings.xml><?xml version="1.0" encoding="utf-8"?>
<sst xmlns="http://schemas.openxmlformats.org/spreadsheetml/2006/main" count="24" uniqueCount="11">
  <si>
    <t>날짜</t>
    <phoneticPr fontId="1" type="noConversion"/>
  </si>
  <si>
    <t>세전</t>
    <phoneticPr fontId="1" type="noConversion"/>
  </si>
  <si>
    <t>설명</t>
    <phoneticPr fontId="1" type="noConversion"/>
  </si>
  <si>
    <t>월급</t>
    <phoneticPr fontId="1" type="noConversion"/>
  </si>
  <si>
    <t>상여</t>
    <phoneticPr fontId="1" type="noConversion"/>
  </si>
  <si>
    <t>월급 합</t>
    <phoneticPr fontId="1" type="noConversion"/>
  </si>
  <si>
    <t>상여 합</t>
    <phoneticPr fontId="1" type="noConversion"/>
  </si>
  <si>
    <t>세후</t>
    <phoneticPr fontId="1" type="noConversion"/>
  </si>
  <si>
    <t>비과세</t>
    <phoneticPr fontId="1" type="noConversion"/>
  </si>
  <si>
    <t>세전-비과세</t>
    <phoneticPr fontId="1" type="noConversion"/>
  </si>
  <si>
    <t>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</si>
</sst>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8C475-9096-4A23-B32E-2E5ED6AECE6A}">
  <dimension ref="A1:K16"/>
  <sheetViews>
    <sheetView tabSelected="1" workbookViewId="0">
      <selection activeCell="N10" sqref="N10"/>
    </sheetView>
  </sheetViews>
  <sheetFormatPr defaultRowHeight="16.5" x14ac:dyDescent="0.3"/>
  <cols>
    <col min="1" max="1" width="11.125" bestFit="1" customWidth="1"/>
    <col min="5" max="5" width="11.625" customWidth="1"/>
    <col min="7" max="7" width="11.125" bestFit="1" customWidth="1"/>
    <col min="8" max="8" width="13.125" customWidth="1"/>
    <col min="9" max="9" width="9.5" bestFit="1" customWidth="1"/>
    <col min="11" max="11" width="9.5" bestFit="1" customWidth="1"/>
  </cols>
  <sheetData>
    <row r="1" spans="1:11" x14ac:dyDescent="0.3">
      <c r="A1" t="s">
        <v>0</v>
      </c>
      <c r="B1" t="s">
        <v>1</v>
      </c>
      <c r="C1" t="s">
        <v>7</v>
      </c>
      <c r="D1" t="s">
        <v>8</v>
      </c>
      <c r="E1" t="s">
        <v>9</v>
      </c>
      <c r="F1" t="s">
        <v>2</v>
      </c>
    </row>
    <row r="2" spans="1:11" x14ac:dyDescent="0.3">
      <c r="A2" s="1">
        <v>45951</v>
      </c>
      <c r="B2">
        <v>1394354</v>
      </c>
      <c r="C2">
        <v>1378684</v>
      </c>
      <c r="E2">
        <f>B2-D2</f>
        <v>1394354</v>
      </c>
      <c r="F2" t="s">
        <v>3</v>
      </c>
      <c r="I2" t="s">
        <v>5</v>
      </c>
      <c r="J2" t="s">
        <v>6</v>
      </c>
      <c r="K2" t="s">
        <v>10</v>
      </c>
    </row>
    <row r="3" spans="1:11" x14ac:dyDescent="0.3">
      <c r="A3" s="1">
        <v>45982</v>
      </c>
      <c r="B3">
        <v>2275000</v>
      </c>
      <c r="C3">
        <v>1973020</v>
      </c>
      <c r="D3">
        <v>200000</v>
      </c>
      <c r="E3">
        <f t="shared" ref="E3:E16" si="0">B3-D3</f>
        <v>2075000</v>
      </c>
      <c r="F3" t="s">
        <v>3</v>
      </c>
      <c r="H3" s="1">
        <v>46163</v>
      </c>
      <c r="I3">
        <f>SUMIF($F$2:F12,"월급",$E$2:E12)</f>
        <v>20416935</v>
      </c>
      <c r="J3">
        <f>SUMIF($F$2:F12,"상여",$B$2:B12)</f>
        <v>600000</v>
      </c>
      <c r="K3">
        <f>SUM(I3:J3)</f>
        <v>21016935</v>
      </c>
    </row>
    <row r="4" spans="1:11" x14ac:dyDescent="0.3">
      <c r="A4" s="1">
        <v>46010</v>
      </c>
      <c r="B4">
        <v>2275000</v>
      </c>
      <c r="C4">
        <v>1973020</v>
      </c>
      <c r="D4">
        <v>200000</v>
      </c>
      <c r="E4">
        <f t="shared" si="0"/>
        <v>2075000</v>
      </c>
      <c r="F4" t="s">
        <v>3</v>
      </c>
      <c r="H4" s="1">
        <v>46194</v>
      </c>
      <c r="I4">
        <f>SUMIF($F$2:F13,"월급",$E$2:E13)</f>
        <v>23466935</v>
      </c>
      <c r="J4">
        <f>SUMIF($F$2:F13,"상여",$B$2:B13)</f>
        <v>600000</v>
      </c>
      <c r="K4">
        <f t="shared" ref="K4:K7" si="1">SUM(I4:J4)</f>
        <v>24066935</v>
      </c>
    </row>
    <row r="5" spans="1:11" x14ac:dyDescent="0.3">
      <c r="A5" s="1">
        <v>46022</v>
      </c>
      <c r="B5">
        <v>300000</v>
      </c>
      <c r="E5">
        <f t="shared" si="0"/>
        <v>300000</v>
      </c>
      <c r="F5" t="s">
        <v>4</v>
      </c>
      <c r="H5" s="1">
        <v>46224</v>
      </c>
      <c r="I5">
        <f>SUMIF($F$2:F14,"월급",$E$2:E14)</f>
        <v>26516935</v>
      </c>
      <c r="J5">
        <f>SUMIF($F$2:F14,"상여",$B$2:B14)</f>
        <v>600000</v>
      </c>
      <c r="K5">
        <f t="shared" si="1"/>
        <v>27116935</v>
      </c>
    </row>
    <row r="6" spans="1:11" x14ac:dyDescent="0.3">
      <c r="A6" s="1">
        <v>46043</v>
      </c>
      <c r="B6">
        <v>2872581</v>
      </c>
      <c r="C6">
        <v>2537001</v>
      </c>
      <c r="D6">
        <v>200000</v>
      </c>
      <c r="E6">
        <f t="shared" si="0"/>
        <v>2672581</v>
      </c>
      <c r="F6" t="s">
        <v>3</v>
      </c>
      <c r="H6" s="1">
        <v>46255</v>
      </c>
      <c r="I6">
        <f>SUMIF($F$2:F15,"월급",$E$2:E15)</f>
        <v>29566935</v>
      </c>
      <c r="J6">
        <f>SUMIF($F$2:F15,"상여",$B$2:B15)</f>
        <v>600000</v>
      </c>
      <c r="K6">
        <f t="shared" si="1"/>
        <v>30166935</v>
      </c>
    </row>
    <row r="7" spans="1:11" x14ac:dyDescent="0.3">
      <c r="A7" s="1">
        <v>46066</v>
      </c>
      <c r="B7">
        <v>200000</v>
      </c>
      <c r="E7">
        <f t="shared" si="0"/>
        <v>200000</v>
      </c>
      <c r="F7" t="s">
        <v>4</v>
      </c>
      <c r="H7" s="1">
        <v>46286</v>
      </c>
      <c r="I7">
        <f>SUMIF($F$2:F16,"월급",$E$2:E16)</f>
        <v>32616935</v>
      </c>
      <c r="J7">
        <f>SUMIF($F$2:F16,"상여",$B$2:B16)</f>
        <v>600000</v>
      </c>
      <c r="K7">
        <f t="shared" si="1"/>
        <v>33216935</v>
      </c>
    </row>
    <row r="8" spans="1:11" x14ac:dyDescent="0.3">
      <c r="A8" s="1">
        <v>46073</v>
      </c>
      <c r="B8">
        <v>3250000</v>
      </c>
      <c r="C8">
        <v>2908480</v>
      </c>
      <c r="D8">
        <v>200000</v>
      </c>
      <c r="E8">
        <f t="shared" si="0"/>
        <v>3050000</v>
      </c>
      <c r="F8" t="s">
        <v>3</v>
      </c>
    </row>
    <row r="9" spans="1:11" x14ac:dyDescent="0.3">
      <c r="A9" s="1">
        <v>46101</v>
      </c>
      <c r="B9">
        <v>3250000</v>
      </c>
      <c r="C9">
        <v>2868100</v>
      </c>
      <c r="D9">
        <v>200000</v>
      </c>
      <c r="E9">
        <f t="shared" si="0"/>
        <v>3050000</v>
      </c>
      <c r="F9" t="s">
        <v>3</v>
      </c>
    </row>
    <row r="10" spans="1:11" x14ac:dyDescent="0.3">
      <c r="A10" s="1">
        <v>46133</v>
      </c>
      <c r="B10">
        <v>3250000</v>
      </c>
      <c r="C10">
        <v>2915630</v>
      </c>
      <c r="D10">
        <v>200000</v>
      </c>
      <c r="E10">
        <f t="shared" si="0"/>
        <v>3050000</v>
      </c>
      <c r="F10" t="s">
        <v>3</v>
      </c>
    </row>
    <row r="11" spans="1:11" x14ac:dyDescent="0.3">
      <c r="A11" s="1">
        <v>46142</v>
      </c>
      <c r="B11">
        <v>100000</v>
      </c>
      <c r="E11">
        <f t="shared" si="0"/>
        <v>100000</v>
      </c>
      <c r="F11" t="s">
        <v>4</v>
      </c>
    </row>
    <row r="12" spans="1:11" x14ac:dyDescent="0.3">
      <c r="A12" s="1">
        <v>46163</v>
      </c>
      <c r="B12">
        <v>3250000</v>
      </c>
      <c r="D12">
        <v>200000</v>
      </c>
      <c r="E12">
        <f t="shared" si="0"/>
        <v>3050000</v>
      </c>
      <c r="F12" t="s">
        <v>3</v>
      </c>
    </row>
    <row r="13" spans="1:11" x14ac:dyDescent="0.3">
      <c r="A13" s="1">
        <v>46194</v>
      </c>
      <c r="B13">
        <v>3250000</v>
      </c>
      <c r="D13">
        <v>200000</v>
      </c>
      <c r="E13">
        <f t="shared" si="0"/>
        <v>3050000</v>
      </c>
      <c r="F13" t="s">
        <v>3</v>
      </c>
    </row>
    <row r="14" spans="1:11" x14ac:dyDescent="0.3">
      <c r="A14" s="1">
        <v>46224</v>
      </c>
      <c r="B14">
        <v>3250000</v>
      </c>
      <c r="D14">
        <v>200000</v>
      </c>
      <c r="E14">
        <f t="shared" si="0"/>
        <v>3050000</v>
      </c>
      <c r="F14" t="s">
        <v>3</v>
      </c>
    </row>
    <row r="15" spans="1:11" x14ac:dyDescent="0.3">
      <c r="A15" s="1">
        <v>46255</v>
      </c>
      <c r="B15">
        <v>3250000</v>
      </c>
      <c r="D15">
        <v>200000</v>
      </c>
      <c r="E15">
        <f t="shared" si="0"/>
        <v>3050000</v>
      </c>
      <c r="F15" t="s">
        <v>3</v>
      </c>
    </row>
    <row r="16" spans="1:11" x14ac:dyDescent="0.3">
      <c r="A16" s="1">
        <v>46286</v>
      </c>
      <c r="B16">
        <v>3250000</v>
      </c>
      <c r="D16">
        <v>200000</v>
      </c>
      <c r="E16">
        <f t="shared" si="0"/>
        <v>3050000</v>
      </c>
      <c r="F16" t="s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수미 이</dc:creator>
  <cp:lastModifiedBy>수미 이</cp:lastModifiedBy>
  <dcterms:created xsi:type="dcterms:W3CDTF">2026-05-19T04:45:01Z</dcterms:created>
  <dcterms:modified xsi:type="dcterms:W3CDTF">2026-05-19T07:22:12Z</dcterms:modified>
</cp:coreProperties>
</file>