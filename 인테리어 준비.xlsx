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개인정보\"/>
    </mc:Choice>
  </mc:AlternateContent>
  <xr:revisionPtr revIDLastSave="0" documentId="13_ncr:1_{6883B545-F5A3-4F0F-8220-E37F4BB3DC0C}" xr6:coauthVersionLast="47" xr6:coauthVersionMax="47" xr10:uidLastSave="{00000000-0000-0000-0000-000000000000}"/>
  <bookViews>
    <workbookView xWindow="-120" yWindow="-120" windowWidth="29040" windowHeight="15720" activeTab="1" xr2:uid="{25DB92C7-42B9-4E12-9C2B-A7B5FE9FA91E}"/>
  </bookViews>
  <sheets>
    <sheet name="인테리어 예산" sheetId="1" r:id="rId1"/>
    <sheet name="가전 가구" sheetId="2" r:id="rId2"/>
  </sheets>
  <definedNames>
    <definedName name="_xlnm._FilterDatabase" localSheetId="1" hidden="1">'가전 가구'!$A$1:$D$1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9" i="1" l="1"/>
  <c r="P19" i="1"/>
  <c r="N19" i="1"/>
  <c r="K19" i="1"/>
  <c r="L19" i="1"/>
  <c r="J19" i="1"/>
  <c r="E26" i="1"/>
  <c r="E25" i="1"/>
  <c r="E24" i="1"/>
  <c r="E23" i="1"/>
  <c r="E22" i="1"/>
  <c r="E21" i="1"/>
  <c r="O14" i="1"/>
  <c r="P14" i="1"/>
  <c r="N14" i="1"/>
  <c r="K14" i="1"/>
  <c r="L14" i="1"/>
  <c r="J14" i="1"/>
  <c r="E20" i="1"/>
  <c r="O9" i="1"/>
  <c r="P9" i="1"/>
  <c r="N9" i="1"/>
  <c r="L9" i="1"/>
  <c r="K9" i="1"/>
  <c r="J9" i="1"/>
  <c r="P4" i="1"/>
  <c r="O4" i="1"/>
  <c r="N4" i="1"/>
  <c r="L4" i="1"/>
  <c r="K4" i="1"/>
  <c r="J4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<sst xmlns="http://schemas.openxmlformats.org/spreadsheetml/2006/main" count="150" uniqueCount="85">
  <si>
    <t>최소</t>
    <phoneticPr fontId="1" type="noConversion"/>
  </si>
  <si>
    <t>최대</t>
    <phoneticPr fontId="1" type="noConversion"/>
  </si>
  <si>
    <t>중앙값</t>
    <phoneticPr fontId="1" type="noConversion"/>
  </si>
  <si>
    <t>난방 배관 전면교체</t>
    <phoneticPr fontId="1" type="noConversion"/>
  </si>
  <si>
    <t>노후 급수관 전면 교체</t>
    <phoneticPr fontId="1" type="noConversion"/>
  </si>
  <si>
    <t>* 미장포함 확인</t>
    <phoneticPr fontId="1" type="noConversion"/>
  </si>
  <si>
    <t>미장은 시멘트 미장</t>
    <phoneticPr fontId="1" type="noConversion"/>
  </si>
  <si>
    <t>시멘트 바닥 미장</t>
    <phoneticPr fontId="1" type="noConversion"/>
  </si>
  <si>
    <t>시멘트 전체 벽면 미장</t>
    <phoneticPr fontId="1" type="noConversion"/>
  </si>
  <si>
    <t>미장할 때 샷시 진행</t>
    <phoneticPr fontId="1" type="noConversion"/>
  </si>
  <si>
    <t>대공정</t>
    <phoneticPr fontId="1" type="noConversion"/>
  </si>
  <si>
    <t>소공정</t>
    <phoneticPr fontId="1" type="noConversion"/>
  </si>
  <si>
    <t>기초</t>
    <phoneticPr fontId="1" type="noConversion"/>
  </si>
  <si>
    <t>콘덴싱 보일러 교체</t>
    <phoneticPr fontId="1" type="noConversion"/>
  </si>
  <si>
    <t>철거 (폐기물 처리 포함)</t>
    <phoneticPr fontId="1" type="noConversion"/>
  </si>
  <si>
    <t>전기 배선</t>
    <phoneticPr fontId="1" type="noConversion"/>
  </si>
  <si>
    <t>시멘트 벽면 미장 제외 기초</t>
    <phoneticPr fontId="1" type="noConversion"/>
  </si>
  <si>
    <t>중앙</t>
    <phoneticPr fontId="1" type="noConversion"/>
  </si>
  <si>
    <t>전체 기초</t>
    <phoneticPr fontId="1" type="noConversion"/>
  </si>
  <si>
    <t>30평 창호 10개 기준 비용</t>
    <phoneticPr fontId="1" type="noConversion"/>
  </si>
  <si>
    <t>롤방충망</t>
    <phoneticPr fontId="1" type="noConversion"/>
  </si>
  <si>
    <t>고정식 방충망 교체</t>
    <phoneticPr fontId="1" type="noConversion"/>
  </si>
  <si>
    <t>벽체 단열</t>
    <phoneticPr fontId="1" type="noConversion"/>
  </si>
  <si>
    <t>조명기구 별도</t>
    <phoneticPr fontId="1" type="noConversion"/>
  </si>
  <si>
    <t>전기 인건비 (1일)</t>
    <phoneticPr fontId="1" type="noConversion"/>
  </si>
  <si>
    <t>25평 전체 전기 공사 (배선 + 자재)</t>
    <phoneticPr fontId="1" type="noConversion"/>
  </si>
  <si>
    <t>목공</t>
    <phoneticPr fontId="1" type="noConversion"/>
  </si>
  <si>
    <t>전기배선까지 했을 때 가격</t>
    <phoneticPr fontId="1" type="noConversion"/>
  </si>
  <si>
    <t>30평 기준 평천장</t>
    <phoneticPr fontId="1" type="noConversion"/>
  </si>
  <si>
    <t>크라운 몰딩</t>
    <phoneticPr fontId="1" type="noConversion"/>
  </si>
  <si>
    <t>붙박이장</t>
    <phoneticPr fontId="1" type="noConversion"/>
  </si>
  <si>
    <t>신발장</t>
    <phoneticPr fontId="1" type="noConversion"/>
  </si>
  <si>
    <t>주방 상부장</t>
    <phoneticPr fontId="1" type="noConversion"/>
  </si>
  <si>
    <t>목공 인건비 (1일)</t>
    <phoneticPr fontId="1" type="noConversion"/>
  </si>
  <si>
    <t>간접 조명 5m</t>
    <phoneticPr fontId="1" type="noConversion"/>
  </si>
  <si>
    <t>타일 도기</t>
    <phoneticPr fontId="1" type="noConversion"/>
  </si>
  <si>
    <t>목공까지 했을 때</t>
    <phoneticPr fontId="1" type="noConversion"/>
  </si>
  <si>
    <t>소형 욕실 방수비용</t>
    <phoneticPr fontId="1" type="noConversion"/>
  </si>
  <si>
    <t>20평 욕실 1개 + 주방 타일 시공</t>
    <phoneticPr fontId="1" type="noConversion"/>
  </si>
  <si>
    <t>위생도기 비용</t>
    <phoneticPr fontId="1" type="noConversion"/>
  </si>
  <si>
    <t>마루</t>
    <phoneticPr fontId="1" type="noConversion"/>
  </si>
  <si>
    <t>30평 강마루 시공</t>
    <phoneticPr fontId="1" type="noConversion"/>
  </si>
  <si>
    <t>벽지</t>
    <phoneticPr fontId="1" type="noConversion"/>
  </si>
  <si>
    <t xml:space="preserve">합지 + 실크 혼합 20평대 </t>
    <phoneticPr fontId="1" type="noConversion"/>
  </si>
  <si>
    <t>주방 가구</t>
    <phoneticPr fontId="1" type="noConversion"/>
  </si>
  <si>
    <t>스테인레스 상판 주방</t>
    <phoneticPr fontId="1" type="noConversion"/>
  </si>
  <si>
    <t>타일도기, 마루, 벽지, 주방가구까지 모두</t>
    <phoneticPr fontId="1" type="noConversion"/>
  </si>
  <si>
    <t>품목</t>
    <phoneticPr fontId="1" type="noConversion"/>
  </si>
  <si>
    <t>예상 비용</t>
    <phoneticPr fontId="1" type="noConversion"/>
  </si>
  <si>
    <t>필수 여부</t>
    <phoneticPr fontId="1" type="noConversion"/>
  </si>
  <si>
    <t>4도어 냉장고</t>
    <phoneticPr fontId="1" type="noConversion"/>
  </si>
  <si>
    <t>세탁기 건조기 일체형</t>
    <phoneticPr fontId="1" type="noConversion"/>
  </si>
  <si>
    <t>식기세척기</t>
    <phoneticPr fontId="1" type="noConversion"/>
  </si>
  <si>
    <t>광파오븐</t>
    <phoneticPr fontId="1" type="noConversion"/>
  </si>
  <si>
    <t>로봇청소기</t>
    <phoneticPr fontId="1" type="noConversion"/>
  </si>
  <si>
    <t>무선청소기</t>
    <phoneticPr fontId="1" type="noConversion"/>
  </si>
  <si>
    <t>침대 + 매트리스</t>
    <phoneticPr fontId="1" type="noConversion"/>
  </si>
  <si>
    <t>TV (75 - 80인치)</t>
    <phoneticPr fontId="1" type="noConversion"/>
  </si>
  <si>
    <t>컴퓨터</t>
    <phoneticPr fontId="1" type="noConversion"/>
  </si>
  <si>
    <t>책상</t>
    <phoneticPr fontId="1" type="noConversion"/>
  </si>
  <si>
    <t>허먼밀러 의자</t>
    <phoneticPr fontId="1" type="noConversion"/>
  </si>
  <si>
    <t>식탁 + 의자 4개</t>
    <phoneticPr fontId="1" type="noConversion"/>
  </si>
  <si>
    <t>거실 조명</t>
    <phoneticPr fontId="1" type="noConversion"/>
  </si>
  <si>
    <t>스탠딩 조명</t>
    <phoneticPr fontId="1" type="noConversion"/>
  </si>
  <si>
    <t>200-500</t>
    <phoneticPr fontId="1" type="noConversion"/>
  </si>
  <si>
    <t>300-500</t>
    <phoneticPr fontId="1" type="noConversion"/>
  </si>
  <si>
    <t>80-150</t>
    <phoneticPr fontId="1" type="noConversion"/>
  </si>
  <si>
    <t>50-100</t>
    <phoneticPr fontId="1" type="noConversion"/>
  </si>
  <si>
    <t>100-200</t>
    <phoneticPr fontId="1" type="noConversion"/>
  </si>
  <si>
    <t>150-300</t>
    <phoneticPr fontId="1" type="noConversion"/>
  </si>
  <si>
    <t>150-350</t>
    <phoneticPr fontId="1" type="noConversion"/>
  </si>
  <si>
    <t>150-400</t>
    <phoneticPr fontId="1" type="noConversion"/>
  </si>
  <si>
    <t>20-80</t>
    <phoneticPr fontId="1" type="noConversion"/>
  </si>
  <si>
    <t>100-250</t>
    <phoneticPr fontId="1" type="noConversion"/>
  </si>
  <si>
    <t>30-100</t>
    <phoneticPr fontId="1" type="noConversion"/>
  </si>
  <si>
    <t>S</t>
    <phoneticPr fontId="1" type="noConversion"/>
  </si>
  <si>
    <t>화장대</t>
    <phoneticPr fontId="1" type="noConversion"/>
  </si>
  <si>
    <t>서랍장</t>
    <phoneticPr fontId="1" type="noConversion"/>
  </si>
  <si>
    <t>협탁 2개</t>
    <phoneticPr fontId="1" type="noConversion"/>
  </si>
  <si>
    <t>책꽃이</t>
    <phoneticPr fontId="1" type="noConversion"/>
  </si>
  <si>
    <t>TV 장</t>
    <phoneticPr fontId="1" type="noConversion"/>
  </si>
  <si>
    <t>리클라이너</t>
    <phoneticPr fontId="1" type="noConversion"/>
  </si>
  <si>
    <t>스탠딩 에어컨</t>
    <phoneticPr fontId="1" type="noConversion"/>
  </si>
  <si>
    <t>가전/ 가구</t>
    <phoneticPr fontId="1" type="noConversion"/>
  </si>
  <si>
    <t>가구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</si>
</sst>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A616-52C8-4CCC-A5EE-286049D512EC}">
  <dimension ref="A1:P26"/>
  <sheetViews>
    <sheetView topLeftCell="A16" workbookViewId="0">
      <selection activeCell="I23" sqref="I23"/>
    </sheetView>
  </sheetViews>
  <sheetFormatPr defaultRowHeight="16.5" x14ac:dyDescent="0.3"/>
  <cols>
    <col min="2" max="2" width="33.25" customWidth="1"/>
  </cols>
  <sheetData>
    <row r="1" spans="1:16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/>
    </row>
    <row r="2" spans="1:16" x14ac:dyDescent="0.3">
      <c r="A2" s="4" t="s">
        <v>12</v>
      </c>
      <c r="B2" s="1" t="s">
        <v>14</v>
      </c>
      <c r="C2" s="2">
        <v>150</v>
      </c>
      <c r="D2" s="2">
        <v>250</v>
      </c>
      <c r="E2" s="2">
        <f>SUM(C2:D2)/2</f>
        <v>200</v>
      </c>
      <c r="F2" s="1"/>
      <c r="J2" s="4" t="s">
        <v>16</v>
      </c>
      <c r="K2" s="4"/>
      <c r="L2" s="4"/>
      <c r="N2" s="4" t="s">
        <v>18</v>
      </c>
      <c r="O2" s="4"/>
      <c r="P2" s="4"/>
    </row>
    <row r="3" spans="1:16" x14ac:dyDescent="0.3">
      <c r="A3" s="4"/>
      <c r="B3" s="1" t="s">
        <v>3</v>
      </c>
      <c r="C3" s="2">
        <v>200</v>
      </c>
      <c r="D3" s="2">
        <v>350</v>
      </c>
      <c r="E3" s="2">
        <f t="shared" ref="E3:E26" si="0">SUM(C3:D3)/2</f>
        <v>275</v>
      </c>
      <c r="F3" s="1" t="s">
        <v>5</v>
      </c>
      <c r="J3" s="1" t="s">
        <v>0</v>
      </c>
      <c r="K3" s="1" t="s">
        <v>1</v>
      </c>
      <c r="L3" s="1" t="s">
        <v>17</v>
      </c>
      <c r="N3" s="1" t="s">
        <v>0</v>
      </c>
      <c r="O3" s="1" t="s">
        <v>1</v>
      </c>
      <c r="P3" s="1" t="s">
        <v>17</v>
      </c>
    </row>
    <row r="4" spans="1:16" x14ac:dyDescent="0.3">
      <c r="A4" s="4"/>
      <c r="B4" s="1" t="s">
        <v>4</v>
      </c>
      <c r="C4" s="2">
        <v>100</v>
      </c>
      <c r="D4" s="2">
        <v>200</v>
      </c>
      <c r="E4" s="2">
        <f t="shared" si="0"/>
        <v>150</v>
      </c>
      <c r="F4" s="1"/>
      <c r="J4" s="1">
        <f>SUM(C2:C11)-C6</f>
        <v>1473</v>
      </c>
      <c r="K4" s="1">
        <f>SUM(D2:D11)-D6</f>
        <v>2401</v>
      </c>
      <c r="L4" s="1">
        <f>SUM(E2:E11)-E6</f>
        <v>1937</v>
      </c>
      <c r="N4" s="1">
        <f>SUM(C2:C11)</f>
        <v>1623</v>
      </c>
      <c r="O4" s="1">
        <f>SUM(D2:D11)</f>
        <v>2701</v>
      </c>
      <c r="P4" s="1">
        <f>SUM(E2:E11)</f>
        <v>2162</v>
      </c>
    </row>
    <row r="5" spans="1:16" x14ac:dyDescent="0.3">
      <c r="A5" s="4"/>
      <c r="B5" s="1" t="s">
        <v>7</v>
      </c>
      <c r="C5" s="2">
        <v>100</v>
      </c>
      <c r="D5" s="2">
        <v>200</v>
      </c>
      <c r="E5" s="2">
        <f t="shared" si="0"/>
        <v>150</v>
      </c>
      <c r="F5" s="1" t="s">
        <v>6</v>
      </c>
      <c r="H5" t="s">
        <v>9</v>
      </c>
    </row>
    <row r="6" spans="1:16" x14ac:dyDescent="0.3">
      <c r="A6" s="4"/>
      <c r="B6" s="1" t="s">
        <v>8</v>
      </c>
      <c r="C6" s="2">
        <v>150</v>
      </c>
      <c r="D6" s="2">
        <v>300</v>
      </c>
      <c r="E6" s="2">
        <f t="shared" si="0"/>
        <v>225</v>
      </c>
      <c r="F6" s="1"/>
      <c r="J6" t="s">
        <v>27</v>
      </c>
    </row>
    <row r="7" spans="1:16" x14ac:dyDescent="0.3">
      <c r="A7" s="4"/>
      <c r="B7" s="1" t="s">
        <v>13</v>
      </c>
      <c r="C7" s="2">
        <v>100</v>
      </c>
      <c r="D7" s="2">
        <v>200</v>
      </c>
      <c r="E7" s="2">
        <f t="shared" si="0"/>
        <v>150</v>
      </c>
      <c r="F7" s="1"/>
      <c r="J7" s="4" t="s">
        <v>16</v>
      </c>
      <c r="K7" s="4"/>
      <c r="L7" s="4"/>
      <c r="N7" s="4" t="s">
        <v>18</v>
      </c>
      <c r="O7" s="4"/>
      <c r="P7" s="4"/>
    </row>
    <row r="8" spans="1:16" x14ac:dyDescent="0.3">
      <c r="A8" s="4"/>
      <c r="B8" s="1" t="s">
        <v>19</v>
      </c>
      <c r="C8" s="2">
        <v>650</v>
      </c>
      <c r="D8" s="2">
        <v>900</v>
      </c>
      <c r="E8" s="2">
        <f t="shared" si="0"/>
        <v>775</v>
      </c>
      <c r="F8" s="1"/>
      <c r="J8" s="3" t="s">
        <v>0</v>
      </c>
      <c r="K8" s="3" t="s">
        <v>1</v>
      </c>
      <c r="L8" s="3" t="s">
        <v>17</v>
      </c>
      <c r="N8" s="3" t="s">
        <v>0</v>
      </c>
      <c r="O8" s="3" t="s">
        <v>1</v>
      </c>
      <c r="P8" s="3" t="s">
        <v>17</v>
      </c>
    </row>
    <row r="9" spans="1:16" x14ac:dyDescent="0.3">
      <c r="A9" s="4"/>
      <c r="B9" s="1" t="s">
        <v>20</v>
      </c>
      <c r="C9" s="2">
        <v>10</v>
      </c>
      <c r="D9" s="2">
        <v>16</v>
      </c>
      <c r="E9" s="2">
        <f t="shared" si="0"/>
        <v>13</v>
      </c>
      <c r="F9" s="1"/>
      <c r="J9" s="1">
        <f>SUM(C2:C13)-C6</f>
        <v>1648</v>
      </c>
      <c r="K9" s="1">
        <f>SUM(D2:D13)-D6</f>
        <v>2736</v>
      </c>
      <c r="L9" s="1">
        <f>SUM(E2:E13)-E6</f>
        <v>2192</v>
      </c>
      <c r="N9" s="1">
        <f>SUM(C2:C13)</f>
        <v>1798</v>
      </c>
      <c r="O9" s="1">
        <f t="shared" ref="O9:P9" si="1">SUM(D2:D13)</f>
        <v>3036</v>
      </c>
      <c r="P9" s="1">
        <f t="shared" si="1"/>
        <v>2417</v>
      </c>
    </row>
    <row r="10" spans="1:16" x14ac:dyDescent="0.3">
      <c r="A10" s="4"/>
      <c r="B10" s="1" t="s">
        <v>21</v>
      </c>
      <c r="C10" s="2">
        <v>3</v>
      </c>
      <c r="D10" s="2">
        <v>5</v>
      </c>
      <c r="E10" s="2">
        <f t="shared" si="0"/>
        <v>4</v>
      </c>
      <c r="F10" s="1"/>
    </row>
    <row r="11" spans="1:16" x14ac:dyDescent="0.3">
      <c r="A11" s="4"/>
      <c r="B11" s="1" t="s">
        <v>22</v>
      </c>
      <c r="C11" s="2">
        <v>160</v>
      </c>
      <c r="D11" s="2">
        <v>280</v>
      </c>
      <c r="E11" s="2">
        <f t="shared" si="0"/>
        <v>220</v>
      </c>
      <c r="F11" s="1"/>
      <c r="J11" t="s">
        <v>36</v>
      </c>
    </row>
    <row r="12" spans="1:16" x14ac:dyDescent="0.3">
      <c r="A12" s="4" t="s">
        <v>15</v>
      </c>
      <c r="B12" s="1" t="s">
        <v>25</v>
      </c>
      <c r="C12" s="2">
        <v>150</v>
      </c>
      <c r="D12" s="2">
        <v>300</v>
      </c>
      <c r="E12" s="2">
        <f t="shared" si="0"/>
        <v>225</v>
      </c>
      <c r="F12" s="1" t="s">
        <v>23</v>
      </c>
      <c r="J12" s="4" t="s">
        <v>16</v>
      </c>
      <c r="K12" s="4"/>
      <c r="L12" s="4"/>
      <c r="N12" s="4" t="s">
        <v>18</v>
      </c>
      <c r="O12" s="4"/>
      <c r="P12" s="4"/>
    </row>
    <row r="13" spans="1:16" x14ac:dyDescent="0.3">
      <c r="A13" s="4"/>
      <c r="B13" s="1" t="s">
        <v>24</v>
      </c>
      <c r="C13" s="2">
        <v>25</v>
      </c>
      <c r="D13" s="2">
        <v>35</v>
      </c>
      <c r="E13" s="2">
        <f t="shared" si="0"/>
        <v>30</v>
      </c>
      <c r="F13" s="1"/>
      <c r="J13" s="3" t="s">
        <v>0</v>
      </c>
      <c r="K13" s="3" t="s">
        <v>1</v>
      </c>
      <c r="L13" s="3" t="s">
        <v>17</v>
      </c>
      <c r="N13" s="3" t="s">
        <v>0</v>
      </c>
      <c r="O13" s="3" t="s">
        <v>1</v>
      </c>
      <c r="P13" s="3" t="s">
        <v>17</v>
      </c>
    </row>
    <row r="14" spans="1:16" x14ac:dyDescent="0.3">
      <c r="A14" s="4" t="s">
        <v>26</v>
      </c>
      <c r="B14" s="1" t="s">
        <v>28</v>
      </c>
      <c r="C14" s="2">
        <v>100</v>
      </c>
      <c r="D14" s="2">
        <v>180</v>
      </c>
      <c r="E14" s="2">
        <f t="shared" si="0"/>
        <v>140</v>
      </c>
      <c r="F14" s="1"/>
      <c r="J14" s="1">
        <f>SUM(C2:C20)-C6</f>
        <v>2058</v>
      </c>
      <c r="K14" s="1">
        <f t="shared" ref="K14:L14" si="2">SUM(D2:D20)-D6</f>
        <v>3461</v>
      </c>
      <c r="L14" s="1">
        <f t="shared" si="2"/>
        <v>2759.5</v>
      </c>
      <c r="N14" s="1">
        <f>SUM(C2:C20)</f>
        <v>2208</v>
      </c>
      <c r="O14" s="1">
        <f t="shared" ref="O14:P14" si="3">SUM(D2:D20)</f>
        <v>3761</v>
      </c>
      <c r="P14" s="1">
        <f t="shared" si="3"/>
        <v>2984.5</v>
      </c>
    </row>
    <row r="15" spans="1:16" x14ac:dyDescent="0.3">
      <c r="A15" s="4"/>
      <c r="B15" s="1" t="s">
        <v>29</v>
      </c>
      <c r="C15" s="2">
        <v>50</v>
      </c>
      <c r="D15" s="2">
        <v>100</v>
      </c>
      <c r="E15" s="2">
        <f t="shared" si="0"/>
        <v>75</v>
      </c>
      <c r="F15" s="1"/>
    </row>
    <row r="16" spans="1:16" x14ac:dyDescent="0.3">
      <c r="A16" s="4"/>
      <c r="B16" s="1" t="s">
        <v>30</v>
      </c>
      <c r="C16" s="2">
        <v>120</v>
      </c>
      <c r="D16" s="2">
        <v>200</v>
      </c>
      <c r="E16" s="2">
        <f t="shared" si="0"/>
        <v>160</v>
      </c>
      <c r="F16" s="1"/>
      <c r="J16" t="s">
        <v>46</v>
      </c>
    </row>
    <row r="17" spans="1:16" x14ac:dyDescent="0.3">
      <c r="A17" s="4"/>
      <c r="B17" s="1" t="s">
        <v>31</v>
      </c>
      <c r="C17" s="2">
        <v>60</v>
      </c>
      <c r="D17" s="2">
        <v>100</v>
      </c>
      <c r="E17" s="2">
        <f t="shared" si="0"/>
        <v>80</v>
      </c>
      <c r="F17" s="1"/>
      <c r="J17" s="4" t="s">
        <v>16</v>
      </c>
      <c r="K17" s="4"/>
      <c r="L17" s="4"/>
      <c r="N17" s="4" t="s">
        <v>18</v>
      </c>
      <c r="O17" s="4"/>
      <c r="P17" s="4"/>
    </row>
    <row r="18" spans="1:16" x14ac:dyDescent="0.3">
      <c r="A18" s="4"/>
      <c r="B18" s="1" t="s">
        <v>32</v>
      </c>
      <c r="C18" s="2">
        <v>30</v>
      </c>
      <c r="D18" s="2">
        <v>50</v>
      </c>
      <c r="E18" s="2">
        <f t="shared" si="0"/>
        <v>40</v>
      </c>
      <c r="F18" s="1"/>
      <c r="J18" s="3" t="s">
        <v>0</v>
      </c>
      <c r="K18" s="3" t="s">
        <v>1</v>
      </c>
      <c r="L18" s="3" t="s">
        <v>17</v>
      </c>
      <c r="N18" s="3" t="s">
        <v>0</v>
      </c>
      <c r="O18" s="3" t="s">
        <v>1</v>
      </c>
      <c r="P18" s="3" t="s">
        <v>17</v>
      </c>
    </row>
    <row r="19" spans="1:16" x14ac:dyDescent="0.3">
      <c r="A19" s="4"/>
      <c r="B19" s="1" t="s">
        <v>33</v>
      </c>
      <c r="C19" s="2">
        <v>25</v>
      </c>
      <c r="D19" s="2">
        <v>35</v>
      </c>
      <c r="E19" s="2">
        <f t="shared" si="0"/>
        <v>30</v>
      </c>
      <c r="F19" s="1"/>
      <c r="J19" s="1">
        <f>SUM(C2:C26)-C6</f>
        <v>3148</v>
      </c>
      <c r="K19" s="1">
        <f t="shared" ref="K19:L19" si="4">SUM(D2:D26)-D6</f>
        <v>5621</v>
      </c>
      <c r="L19" s="1">
        <f t="shared" si="4"/>
        <v>4384.5</v>
      </c>
      <c r="N19" s="1">
        <f>SUM(C2:C26)</f>
        <v>3298</v>
      </c>
      <c r="O19" s="1">
        <f t="shared" ref="O19:P19" si="5">SUM(D2:D26)</f>
        <v>5921</v>
      </c>
      <c r="P19" s="1">
        <f t="shared" si="5"/>
        <v>4609.5</v>
      </c>
    </row>
    <row r="20" spans="1:16" x14ac:dyDescent="0.3">
      <c r="A20" s="4"/>
      <c r="B20" s="1" t="s">
        <v>34</v>
      </c>
      <c r="C20" s="2">
        <v>25</v>
      </c>
      <c r="D20" s="2">
        <v>60</v>
      </c>
      <c r="E20" s="2">
        <f t="shared" si="0"/>
        <v>42.5</v>
      </c>
      <c r="F20" s="1"/>
    </row>
    <row r="21" spans="1:16" x14ac:dyDescent="0.3">
      <c r="A21" s="1" t="s">
        <v>35</v>
      </c>
      <c r="B21" s="1" t="s">
        <v>37</v>
      </c>
      <c r="C21" s="2">
        <v>40</v>
      </c>
      <c r="D21" s="2">
        <v>60</v>
      </c>
      <c r="E21" s="2">
        <f t="shared" si="0"/>
        <v>50</v>
      </c>
      <c r="F21" s="1"/>
    </row>
    <row r="22" spans="1:16" x14ac:dyDescent="0.3">
      <c r="A22" s="1"/>
      <c r="B22" s="1" t="s">
        <v>38</v>
      </c>
      <c r="C22" s="2">
        <v>200</v>
      </c>
      <c r="D22" s="2">
        <v>400</v>
      </c>
      <c r="E22" s="2">
        <f t="shared" si="0"/>
        <v>300</v>
      </c>
      <c r="F22" s="1"/>
    </row>
    <row r="23" spans="1:16" x14ac:dyDescent="0.3">
      <c r="A23" s="1"/>
      <c r="B23" s="1" t="s">
        <v>39</v>
      </c>
      <c r="C23" s="2">
        <v>100</v>
      </c>
      <c r="D23" s="2">
        <v>300</v>
      </c>
      <c r="E23" s="2">
        <f t="shared" si="0"/>
        <v>200</v>
      </c>
      <c r="F23" s="1"/>
    </row>
    <row r="24" spans="1:16" x14ac:dyDescent="0.3">
      <c r="A24" s="1" t="s">
        <v>40</v>
      </c>
      <c r="B24" s="1" t="s">
        <v>41</v>
      </c>
      <c r="C24" s="2">
        <v>300</v>
      </c>
      <c r="D24" s="2">
        <v>600</v>
      </c>
      <c r="E24" s="2">
        <f t="shared" si="0"/>
        <v>450</v>
      </c>
      <c r="F24" s="1"/>
    </row>
    <row r="25" spans="1:16" x14ac:dyDescent="0.3">
      <c r="A25" s="1" t="s">
        <v>42</v>
      </c>
      <c r="B25" s="1" t="s">
        <v>43</v>
      </c>
      <c r="C25" s="2">
        <v>100</v>
      </c>
      <c r="D25" s="2">
        <v>200</v>
      </c>
      <c r="E25" s="2">
        <f t="shared" si="0"/>
        <v>150</v>
      </c>
      <c r="F25" s="1"/>
    </row>
    <row r="26" spans="1:16" x14ac:dyDescent="0.3">
      <c r="A26" s="1" t="s">
        <v>44</v>
      </c>
      <c r="B26" s="1" t="s">
        <v>45</v>
      </c>
      <c r="C26" s="2">
        <v>350</v>
      </c>
      <c r="D26" s="2">
        <v>600</v>
      </c>
      <c r="E26" s="2">
        <f t="shared" si="0"/>
        <v>475</v>
      </c>
      <c r="F26" s="1"/>
    </row>
  </sheetData>
  <mergeCells count="11">
    <mergeCell ref="J12:L12"/>
    <mergeCell ref="N12:P12"/>
    <mergeCell ref="A12:A13"/>
    <mergeCell ref="A14:A20"/>
    <mergeCell ref="J17:L17"/>
    <mergeCell ref="N17:P17"/>
    <mergeCell ref="J2:L2"/>
    <mergeCell ref="N2:P2"/>
    <mergeCell ref="A2:A11"/>
    <mergeCell ref="J7:L7"/>
    <mergeCell ref="N7:P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2748-CA07-4ECD-9AE6-C3D24618DA59}">
  <dimension ref="A1:D22"/>
  <sheetViews>
    <sheetView tabSelected="1" workbookViewId="0">
      <selection activeCell="F13" sqref="F13"/>
    </sheetView>
  </sheetViews>
  <sheetFormatPr defaultRowHeight="16.5" x14ac:dyDescent="0.3"/>
  <cols>
    <col min="1" max="1" width="23.25" customWidth="1"/>
    <col min="4" max="4" width="14.5" customWidth="1"/>
  </cols>
  <sheetData>
    <row r="1" spans="1:4" x14ac:dyDescent="0.3">
      <c r="A1" s="1" t="s">
        <v>47</v>
      </c>
      <c r="B1" s="1" t="s">
        <v>48</v>
      </c>
      <c r="C1" s="1" t="s">
        <v>49</v>
      </c>
      <c r="D1" s="1" t="s">
        <v>83</v>
      </c>
    </row>
    <row r="2" spans="1:4" x14ac:dyDescent="0.3">
      <c r="A2" s="1" t="s">
        <v>50</v>
      </c>
      <c r="B2" s="1" t="s">
        <v>64</v>
      </c>
      <c r="C2" s="1" t="s">
        <v>75</v>
      </c>
      <c r="D2" s="1" t="s">
        <v>83</v>
      </c>
    </row>
    <row r="3" spans="1:4" x14ac:dyDescent="0.3">
      <c r="A3" s="1" t="s">
        <v>51</v>
      </c>
      <c r="B3" s="1" t="s">
        <v>65</v>
      </c>
      <c r="C3" s="1" t="s">
        <v>75</v>
      </c>
      <c r="D3" s="1" t="s">
        <v>83</v>
      </c>
    </row>
    <row r="4" spans="1:4" x14ac:dyDescent="0.3">
      <c r="A4" s="1" t="s">
        <v>52</v>
      </c>
      <c r="B4" s="1" t="s">
        <v>66</v>
      </c>
      <c r="C4" s="1" t="s">
        <v>75</v>
      </c>
      <c r="D4" s="1" t="s">
        <v>83</v>
      </c>
    </row>
    <row r="5" spans="1:4" x14ac:dyDescent="0.3">
      <c r="A5" s="1" t="s">
        <v>53</v>
      </c>
      <c r="B5" s="1" t="s">
        <v>67</v>
      </c>
      <c r="C5" s="1" t="s">
        <v>75</v>
      </c>
      <c r="D5" s="1" t="s">
        <v>83</v>
      </c>
    </row>
    <row r="6" spans="1:4" x14ac:dyDescent="0.3">
      <c r="A6" s="1" t="s">
        <v>54</v>
      </c>
      <c r="B6" s="1" t="s">
        <v>68</v>
      </c>
      <c r="C6" s="1" t="s">
        <v>75</v>
      </c>
      <c r="D6" s="1" t="s">
        <v>83</v>
      </c>
    </row>
    <row r="7" spans="1:4" x14ac:dyDescent="0.3">
      <c r="A7" s="1" t="s">
        <v>55</v>
      </c>
      <c r="B7" s="1" t="s">
        <v>67</v>
      </c>
      <c r="C7" s="1" t="s">
        <v>75</v>
      </c>
      <c r="D7" s="1" t="s">
        <v>83</v>
      </c>
    </row>
    <row r="8" spans="1:4" x14ac:dyDescent="0.3">
      <c r="A8" s="1" t="s">
        <v>57</v>
      </c>
      <c r="B8" s="1" t="s">
        <v>70</v>
      </c>
      <c r="C8" s="1" t="s">
        <v>75</v>
      </c>
      <c r="D8" s="1" t="s">
        <v>83</v>
      </c>
    </row>
    <row r="9" spans="1:4" x14ac:dyDescent="0.3">
      <c r="A9" s="1" t="s">
        <v>82</v>
      </c>
      <c r="B9" s="1"/>
      <c r="C9" s="1" t="s">
        <v>75</v>
      </c>
      <c r="D9" s="1" t="s">
        <v>83</v>
      </c>
    </row>
    <row r="10" spans="1:4" x14ac:dyDescent="0.3">
      <c r="A10" s="1" t="s">
        <v>58</v>
      </c>
      <c r="B10" s="1" t="s">
        <v>71</v>
      </c>
      <c r="C10" s="1" t="s">
        <v>75</v>
      </c>
      <c r="D10" s="1" t="s">
        <v>83</v>
      </c>
    </row>
    <row r="11" spans="1:4" x14ac:dyDescent="0.3">
      <c r="A11" s="1" t="s">
        <v>81</v>
      </c>
      <c r="B11" s="1"/>
      <c r="C11" s="1"/>
      <c r="D11" s="1" t="s">
        <v>83</v>
      </c>
    </row>
    <row r="12" spans="1:4" x14ac:dyDescent="0.3">
      <c r="A12" s="1" t="s">
        <v>56</v>
      </c>
      <c r="B12" s="1" t="s">
        <v>69</v>
      </c>
      <c r="C12" s="1" t="s">
        <v>75</v>
      </c>
      <c r="D12" s="1" t="s">
        <v>84</v>
      </c>
    </row>
    <row r="13" spans="1:4" x14ac:dyDescent="0.3">
      <c r="A13" s="1" t="s">
        <v>59</v>
      </c>
      <c r="B13" s="1" t="s">
        <v>72</v>
      </c>
      <c r="C13" s="1" t="s">
        <v>75</v>
      </c>
      <c r="D13" s="1" t="s">
        <v>84</v>
      </c>
    </row>
    <row r="14" spans="1:4" x14ac:dyDescent="0.3">
      <c r="A14" s="1" t="s">
        <v>60</v>
      </c>
      <c r="B14" s="1" t="s">
        <v>69</v>
      </c>
      <c r="C14" s="1" t="s">
        <v>75</v>
      </c>
      <c r="D14" s="1" t="s">
        <v>84</v>
      </c>
    </row>
    <row r="15" spans="1:4" x14ac:dyDescent="0.3">
      <c r="A15" s="1" t="s">
        <v>61</v>
      </c>
      <c r="B15" s="1" t="s">
        <v>73</v>
      </c>
      <c r="C15" s="1" t="s">
        <v>75</v>
      </c>
      <c r="D15" s="1" t="s">
        <v>84</v>
      </c>
    </row>
    <row r="16" spans="1:4" x14ac:dyDescent="0.3">
      <c r="A16" s="1" t="s">
        <v>62</v>
      </c>
      <c r="B16" s="1" t="s">
        <v>74</v>
      </c>
      <c r="C16" s="1" t="s">
        <v>75</v>
      </c>
      <c r="D16" s="1" t="s">
        <v>84</v>
      </c>
    </row>
    <row r="17" spans="1:4" x14ac:dyDescent="0.3">
      <c r="A17" s="1" t="s">
        <v>63</v>
      </c>
      <c r="B17" s="1"/>
      <c r="C17" s="1" t="s">
        <v>75</v>
      </c>
      <c r="D17" s="1" t="s">
        <v>84</v>
      </c>
    </row>
    <row r="18" spans="1:4" x14ac:dyDescent="0.3">
      <c r="A18" s="1" t="s">
        <v>76</v>
      </c>
      <c r="B18" s="1"/>
      <c r="C18" s="1"/>
      <c r="D18" s="1" t="s">
        <v>84</v>
      </c>
    </row>
    <row r="19" spans="1:4" x14ac:dyDescent="0.3">
      <c r="A19" s="1" t="s">
        <v>77</v>
      </c>
      <c r="B19" s="1"/>
      <c r="C19" s="1"/>
      <c r="D19" s="1" t="s">
        <v>84</v>
      </c>
    </row>
    <row r="20" spans="1:4" x14ac:dyDescent="0.3">
      <c r="A20" s="1" t="s">
        <v>78</v>
      </c>
      <c r="B20" s="1"/>
      <c r="C20" s="1"/>
      <c r="D20" s="1" t="s">
        <v>84</v>
      </c>
    </row>
    <row r="21" spans="1:4" x14ac:dyDescent="0.3">
      <c r="A21" s="1" t="s">
        <v>79</v>
      </c>
      <c r="B21" s="1"/>
      <c r="C21" s="1"/>
      <c r="D21" s="1" t="s">
        <v>84</v>
      </c>
    </row>
    <row r="22" spans="1:4" x14ac:dyDescent="0.3">
      <c r="A22" s="1" t="s">
        <v>80</v>
      </c>
      <c r="B22" s="1"/>
      <c r="C22" s="1"/>
      <c r="D22" s="1" t="s">
        <v>84</v>
      </c>
    </row>
  </sheetData>
  <autoFilter ref="A1:D1" xr:uid="{EED12748-CA07-4ECD-9AE6-C3D24618DA59}">
    <sortState xmlns:xlrd2="http://schemas.microsoft.com/office/spreadsheetml/2017/richdata2" ref="A2:D22">
      <sortCondition descending="1" ref="D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인테리어 예산</vt:lpstr>
      <vt:lpstr>가전 가구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수미 이</dc:creator>
  <cp:lastModifiedBy>수미 이</cp:lastModifiedBy>
  <dcterms:created xsi:type="dcterms:W3CDTF">2026-06-22T10:46:41Z</dcterms:created>
  <dcterms:modified xsi:type="dcterms:W3CDTF">2026-06-23T06:57:51Z</dcterms:modified>
</cp:coreProperties>
</file>